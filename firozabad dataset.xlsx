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810" windowWidth="19575" windowHeight="7080"/>
  </bookViews>
  <sheets>
    <sheet name="FirozabadAdvanced" sheetId="1" r:id="rId1"/>
  </sheets>
  <calcPr calcId="124519"/>
</workbook>
</file>

<file path=xl/calcChain.xml><?xml version="1.0" encoding="utf-8"?>
<calcChain xmlns="http://schemas.openxmlformats.org/spreadsheetml/2006/main">
  <c r="R3" i="1"/>
  <c r="R4"/>
  <c r="R5"/>
  <c r="R6"/>
  <c r="R7"/>
  <c r="R8"/>
  <c r="R9"/>
  <c r="R10"/>
  <c r="R11"/>
  <c r="R2"/>
  <c r="G3"/>
  <c r="G4"/>
  <c r="G5"/>
  <c r="G6"/>
  <c r="G7"/>
  <c r="G8"/>
  <c r="G9"/>
  <c r="G10"/>
  <c r="G2"/>
  <c r="C3"/>
  <c r="C4"/>
  <c r="C5"/>
  <c r="C6"/>
  <c r="C7"/>
  <c r="C8"/>
  <c r="C9"/>
  <c r="C10"/>
  <c r="C11"/>
  <c r="G11" s="1"/>
  <c r="C2"/>
</calcChain>
</file>

<file path=xl/sharedStrings.xml><?xml version="1.0" encoding="utf-8"?>
<sst xmlns="http://schemas.openxmlformats.org/spreadsheetml/2006/main" count="19" uniqueCount="19">
  <si>
    <t>Year</t>
  </si>
  <si>
    <t>Population</t>
  </si>
  <si>
    <t>Literacy Rate</t>
  </si>
  <si>
    <t>Male Literacy</t>
  </si>
  <si>
    <t>Female Literacy</t>
  </si>
  <si>
    <t>School Enrollment(%)</t>
  </si>
  <si>
    <t>Education Index</t>
  </si>
  <si>
    <t>Roads Developed(km)</t>
  </si>
  <si>
    <t>Public Transport Index</t>
  </si>
  <si>
    <t>Hospitals Count</t>
  </si>
  <si>
    <t>Glass Industry Revenue(Cr)</t>
  </si>
  <si>
    <t>Glass Industry Units</t>
  </si>
  <si>
    <t>Unemployment Rate(%)</t>
  </si>
  <si>
    <t>Poverty Rate(%)</t>
  </si>
  <si>
    <t>Crime Rate(/100k)</t>
  </si>
  <si>
    <t>Women Safety Cases</t>
  </si>
  <si>
    <t>Theft Cases</t>
  </si>
  <si>
    <t>Assault Cases</t>
  </si>
  <si>
    <t>Avg Income(INR)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</si>
</sst>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topLeftCell="B1" workbookViewId="0">
      <selection activeCell="S12" sqref="S12"/>
    </sheetView>
  </sheetViews>
  <sheetFormatPr defaultRowHeight="18.75"/>
  <cols>
    <col min="1" max="1" width="9.140625" style="1"/>
    <col min="2" max="2" width="17" style="1" customWidth="1"/>
    <col min="3" max="3" width="18" style="3" customWidth="1"/>
    <col min="4" max="4" width="18.28515625" style="2" customWidth="1"/>
    <col min="5" max="5" width="20.42578125" style="2" customWidth="1"/>
    <col min="6" max="6" width="27.140625" style="2" customWidth="1"/>
    <col min="7" max="7" width="20.85546875" style="2" customWidth="1"/>
    <col min="8" max="8" width="21.28515625" style="2" customWidth="1"/>
    <col min="9" max="9" width="21.7109375" customWidth="1"/>
    <col min="10" max="10" width="22.85546875" customWidth="1"/>
    <col min="11" max="11" width="25.5703125" customWidth="1"/>
    <col min="12" max="12" width="15" customWidth="1"/>
    <col min="13" max="13" width="17.140625" customWidth="1"/>
    <col min="14" max="14" width="28.42578125" style="3" customWidth="1"/>
    <col min="15" max="15" width="25" style="3" customWidth="1"/>
    <col min="16" max="16" width="32.5703125" style="3" customWidth="1"/>
    <col min="17" max="17" width="19.5703125" style="3" customWidth="1"/>
    <col min="18" max="18" width="27.28515625" style="3" customWidth="1"/>
    <col min="19" max="19" width="26.42578125" style="3" customWidth="1"/>
  </cols>
  <sheetData>
    <row r="1" spans="1:20" s="7" customFormat="1" ht="21.75" customHeight="1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18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12</v>
      </c>
      <c r="O1" s="6" t="s">
        <v>11</v>
      </c>
      <c r="P1" s="6" t="s">
        <v>10</v>
      </c>
      <c r="Q1" s="5" t="s">
        <v>9</v>
      </c>
      <c r="R1" s="6" t="s">
        <v>8</v>
      </c>
      <c r="S1" s="6" t="s">
        <v>7</v>
      </c>
      <c r="T1" s="4"/>
    </row>
    <row r="2" spans="1:20">
      <c r="A2" s="1">
        <v>2015</v>
      </c>
      <c r="B2" s="1">
        <v>605812</v>
      </c>
      <c r="C2" s="2">
        <f>(D2 + E2) / 2</f>
        <v>59.75</v>
      </c>
      <c r="D2" s="2">
        <v>75</v>
      </c>
      <c r="E2" s="2">
        <v>44.5</v>
      </c>
      <c r="F2" s="2">
        <v>80.8</v>
      </c>
      <c r="G2" s="2">
        <f>ROUND((C2/100)*0.9, 2)</f>
        <v>0.54</v>
      </c>
      <c r="H2" s="2">
        <v>178301</v>
      </c>
      <c r="I2" s="2">
        <v>21.8</v>
      </c>
      <c r="J2" s="2">
        <v>259</v>
      </c>
      <c r="K2" s="2">
        <v>750</v>
      </c>
      <c r="L2" s="2">
        <v>1832</v>
      </c>
      <c r="M2" s="2">
        <v>852</v>
      </c>
      <c r="N2" s="2">
        <v>10.6</v>
      </c>
      <c r="O2" s="2">
        <v>1214</v>
      </c>
      <c r="P2" s="2">
        <v>811.28</v>
      </c>
      <c r="Q2" s="2">
        <v>47</v>
      </c>
      <c r="R2" s="2">
        <f>ROUND(S2/19, 2)</f>
        <v>1</v>
      </c>
      <c r="S2" s="2">
        <v>19</v>
      </c>
      <c r="T2" s="1"/>
    </row>
    <row r="3" spans="1:20">
      <c r="A3" s="1">
        <v>2016</v>
      </c>
      <c r="B3" s="1">
        <v>613311</v>
      </c>
      <c r="C3" s="2">
        <f t="shared" ref="C3:C11" si="0">(D3 + E3) / 2</f>
        <v>58.25</v>
      </c>
      <c r="D3" s="2">
        <v>71.599999999999994</v>
      </c>
      <c r="E3" s="2">
        <v>44.9</v>
      </c>
      <c r="F3" s="2">
        <v>81.5</v>
      </c>
      <c r="G3" s="2">
        <f t="shared" ref="G3:G11" si="1">ROUND((C3/100)*0.9, 2)</f>
        <v>0.52</v>
      </c>
      <c r="H3" s="2">
        <v>104417</v>
      </c>
      <c r="I3" s="2">
        <v>17.2</v>
      </c>
      <c r="J3" s="2">
        <v>235</v>
      </c>
      <c r="K3" s="2">
        <v>760</v>
      </c>
      <c r="L3" s="2">
        <v>2337</v>
      </c>
      <c r="M3" s="2">
        <v>1377</v>
      </c>
      <c r="N3" s="2">
        <v>8.5</v>
      </c>
      <c r="O3" s="2">
        <v>1671</v>
      </c>
      <c r="P3" s="2">
        <v>878.72</v>
      </c>
      <c r="Q3" s="2">
        <v>79</v>
      </c>
      <c r="R3" s="2">
        <f t="shared" ref="R3:R11" si="2">ROUND(S3/19, 2)</f>
        <v>0.26</v>
      </c>
      <c r="S3" s="2">
        <v>5</v>
      </c>
      <c r="T3" s="1"/>
    </row>
    <row r="4" spans="1:20">
      <c r="A4" s="1">
        <v>2017</v>
      </c>
      <c r="B4" s="1">
        <v>617831</v>
      </c>
      <c r="C4" s="2">
        <f t="shared" si="0"/>
        <v>65.099999999999994</v>
      </c>
      <c r="D4" s="2">
        <v>80.2</v>
      </c>
      <c r="E4" s="2">
        <v>50</v>
      </c>
      <c r="F4" s="2">
        <v>60.5</v>
      </c>
      <c r="G4" s="2">
        <f t="shared" si="1"/>
        <v>0.59</v>
      </c>
      <c r="H4" s="2">
        <v>151781</v>
      </c>
      <c r="I4" s="2">
        <v>19.600000000000001</v>
      </c>
      <c r="J4" s="2">
        <v>237</v>
      </c>
      <c r="K4" s="2">
        <v>557</v>
      </c>
      <c r="L4" s="2">
        <v>1917</v>
      </c>
      <c r="M4" s="2">
        <v>1010</v>
      </c>
      <c r="N4" s="2">
        <v>10.8</v>
      </c>
      <c r="O4" s="2">
        <v>1277</v>
      </c>
      <c r="P4" s="2">
        <v>462.66</v>
      </c>
      <c r="Q4" s="2">
        <v>61</v>
      </c>
      <c r="R4" s="2">
        <f t="shared" si="2"/>
        <v>0.84</v>
      </c>
      <c r="S4" s="2">
        <v>16</v>
      </c>
      <c r="T4" s="1"/>
    </row>
    <row r="5" spans="1:20">
      <c r="A5" s="1">
        <v>2018</v>
      </c>
      <c r="B5" s="1">
        <v>622973</v>
      </c>
      <c r="C5" s="2">
        <f t="shared" si="0"/>
        <v>64</v>
      </c>
      <c r="D5" s="2">
        <v>72.099999999999994</v>
      </c>
      <c r="E5" s="2">
        <v>55.9</v>
      </c>
      <c r="F5" s="2">
        <v>74.7</v>
      </c>
      <c r="G5" s="2">
        <f t="shared" si="1"/>
        <v>0.57999999999999996</v>
      </c>
      <c r="H5" s="2">
        <v>176416</v>
      </c>
      <c r="I5" s="2">
        <v>16.600000000000001</v>
      </c>
      <c r="J5" s="2">
        <v>168</v>
      </c>
      <c r="K5" s="2">
        <v>650</v>
      </c>
      <c r="L5" s="2">
        <v>2513</v>
      </c>
      <c r="M5" s="2">
        <v>768</v>
      </c>
      <c r="N5" s="2">
        <v>11.7</v>
      </c>
      <c r="O5" s="2">
        <v>1759</v>
      </c>
      <c r="P5" s="2">
        <v>733.82</v>
      </c>
      <c r="Q5" s="2">
        <v>80</v>
      </c>
      <c r="R5" s="2">
        <f t="shared" si="2"/>
        <v>0.68</v>
      </c>
      <c r="S5" s="2">
        <v>13</v>
      </c>
      <c r="T5" s="1"/>
    </row>
    <row r="6" spans="1:20">
      <c r="A6" s="1">
        <v>2019</v>
      </c>
      <c r="B6" s="1">
        <v>629359</v>
      </c>
      <c r="C6" s="2">
        <f t="shared" si="0"/>
        <v>69.400000000000006</v>
      </c>
      <c r="D6" s="2">
        <v>78.3</v>
      </c>
      <c r="E6" s="2">
        <v>60.5</v>
      </c>
      <c r="F6" s="2">
        <v>63.3</v>
      </c>
      <c r="G6" s="2">
        <f t="shared" si="1"/>
        <v>0.62</v>
      </c>
      <c r="H6" s="2">
        <v>154985</v>
      </c>
      <c r="I6" s="2">
        <v>14</v>
      </c>
      <c r="J6" s="2">
        <v>131</v>
      </c>
      <c r="K6" s="2">
        <v>215</v>
      </c>
      <c r="L6" s="2">
        <v>2116</v>
      </c>
      <c r="M6" s="2">
        <v>622</v>
      </c>
      <c r="N6" s="2">
        <v>9.1999999999999993</v>
      </c>
      <c r="O6" s="2">
        <v>1448</v>
      </c>
      <c r="P6" s="2">
        <v>867.23</v>
      </c>
      <c r="Q6" s="2">
        <v>70</v>
      </c>
      <c r="R6" s="2">
        <f t="shared" si="2"/>
        <v>0.68</v>
      </c>
      <c r="S6" s="2">
        <v>13</v>
      </c>
      <c r="T6" s="1"/>
    </row>
    <row r="7" spans="1:20">
      <c r="A7" s="1">
        <v>2020</v>
      </c>
      <c r="B7" s="1">
        <v>636489</v>
      </c>
      <c r="C7" s="2">
        <f t="shared" si="0"/>
        <v>68.45</v>
      </c>
      <c r="D7" s="2">
        <v>72.7</v>
      </c>
      <c r="E7" s="2">
        <v>64.2</v>
      </c>
      <c r="F7" s="2">
        <v>60.8</v>
      </c>
      <c r="G7" s="2">
        <f t="shared" si="1"/>
        <v>0.62</v>
      </c>
      <c r="H7" s="2">
        <v>120472</v>
      </c>
      <c r="I7" s="2">
        <v>19.100000000000001</v>
      </c>
      <c r="J7" s="2">
        <v>216</v>
      </c>
      <c r="K7" s="2">
        <v>241</v>
      </c>
      <c r="L7" s="2">
        <v>2529</v>
      </c>
      <c r="M7" s="2">
        <v>957</v>
      </c>
      <c r="N7" s="2">
        <v>10.3</v>
      </c>
      <c r="O7" s="2">
        <v>1447</v>
      </c>
      <c r="P7" s="2">
        <v>611.28</v>
      </c>
      <c r="Q7" s="2">
        <v>47</v>
      </c>
      <c r="R7" s="2">
        <f t="shared" si="2"/>
        <v>0.37</v>
      </c>
      <c r="S7" s="2">
        <v>7</v>
      </c>
      <c r="T7" s="1"/>
    </row>
    <row r="8" spans="1:20">
      <c r="A8" s="1">
        <v>2021</v>
      </c>
      <c r="B8" s="1">
        <v>641281</v>
      </c>
      <c r="C8" s="2">
        <f t="shared" si="0"/>
        <v>73.199999999999989</v>
      </c>
      <c r="D8" s="2">
        <v>79.599999999999994</v>
      </c>
      <c r="E8" s="2">
        <v>66.8</v>
      </c>
      <c r="F8" s="2">
        <v>68.400000000000006</v>
      </c>
      <c r="G8" s="2">
        <f t="shared" si="1"/>
        <v>0.66</v>
      </c>
      <c r="H8" s="2">
        <v>169340</v>
      </c>
      <c r="I8" s="2">
        <v>18.8</v>
      </c>
      <c r="J8" s="2">
        <v>196</v>
      </c>
      <c r="K8" s="2">
        <v>258</v>
      </c>
      <c r="L8" s="2">
        <v>2500</v>
      </c>
      <c r="M8" s="2">
        <v>1725</v>
      </c>
      <c r="N8" s="2">
        <v>10.1</v>
      </c>
      <c r="O8" s="2">
        <v>1334</v>
      </c>
      <c r="P8" s="2">
        <v>737.38</v>
      </c>
      <c r="Q8" s="2">
        <v>80</v>
      </c>
      <c r="R8" s="2">
        <f t="shared" si="2"/>
        <v>0.42</v>
      </c>
      <c r="S8" s="2">
        <v>8</v>
      </c>
      <c r="T8" s="1"/>
    </row>
    <row r="9" spans="1:20">
      <c r="A9" s="1">
        <v>2022</v>
      </c>
      <c r="B9" s="1">
        <v>648953</v>
      </c>
      <c r="C9" s="2">
        <f t="shared" si="0"/>
        <v>75.699999999999989</v>
      </c>
      <c r="D9" s="2">
        <v>81.099999999999994</v>
      </c>
      <c r="E9" s="2">
        <v>70.3</v>
      </c>
      <c r="F9" s="2">
        <v>61.2</v>
      </c>
      <c r="G9" s="2">
        <f t="shared" si="1"/>
        <v>0.68</v>
      </c>
      <c r="H9" s="2">
        <v>133479</v>
      </c>
      <c r="I9" s="2">
        <v>12.8</v>
      </c>
      <c r="J9" s="2">
        <v>242</v>
      </c>
      <c r="K9" s="2">
        <v>550</v>
      </c>
      <c r="L9" s="2">
        <v>2000</v>
      </c>
      <c r="M9" s="2">
        <v>1306</v>
      </c>
      <c r="N9" s="2">
        <v>6.9</v>
      </c>
      <c r="O9" s="2">
        <v>1376</v>
      </c>
      <c r="P9" s="2">
        <v>841.05</v>
      </c>
      <c r="Q9" s="2">
        <v>79</v>
      </c>
      <c r="R9" s="2">
        <f t="shared" si="2"/>
        <v>0.37</v>
      </c>
      <c r="S9" s="2">
        <v>7</v>
      </c>
      <c r="T9" s="1"/>
    </row>
    <row r="10" spans="1:20">
      <c r="A10" s="1">
        <v>2023</v>
      </c>
      <c r="B10" s="1">
        <v>654861</v>
      </c>
      <c r="C10" s="2">
        <f t="shared" si="0"/>
        <v>75.349999999999994</v>
      </c>
      <c r="D10" s="2">
        <v>75.900000000000006</v>
      </c>
      <c r="E10" s="2">
        <v>74.8</v>
      </c>
      <c r="F10" s="2">
        <v>62</v>
      </c>
      <c r="G10" s="2">
        <f t="shared" si="1"/>
        <v>0.68</v>
      </c>
      <c r="H10" s="2">
        <v>178200</v>
      </c>
      <c r="I10" s="2">
        <v>20.399999999999999</v>
      </c>
      <c r="J10" s="2">
        <v>144</v>
      </c>
      <c r="K10" s="2">
        <v>486</v>
      </c>
      <c r="L10" s="2">
        <v>1700</v>
      </c>
      <c r="M10" s="2">
        <v>1300</v>
      </c>
      <c r="N10" s="2">
        <v>8.3000000000000007</v>
      </c>
      <c r="O10" s="2">
        <v>1470</v>
      </c>
      <c r="P10" s="2">
        <v>721.45</v>
      </c>
      <c r="Q10" s="2">
        <v>52</v>
      </c>
      <c r="R10" s="2">
        <f t="shared" si="2"/>
        <v>0.57999999999999996</v>
      </c>
      <c r="S10" s="2">
        <v>11</v>
      </c>
      <c r="T10" s="1"/>
    </row>
    <row r="11" spans="1:20">
      <c r="A11" s="1">
        <v>2024</v>
      </c>
      <c r="B11" s="1">
        <v>658842</v>
      </c>
      <c r="C11" s="2">
        <f t="shared" si="0"/>
        <v>75.599999999999994</v>
      </c>
      <c r="D11" s="2">
        <v>71.7</v>
      </c>
      <c r="E11" s="2">
        <v>79.5</v>
      </c>
      <c r="F11" s="2">
        <v>68.3</v>
      </c>
      <c r="G11" s="2">
        <f t="shared" si="1"/>
        <v>0.68</v>
      </c>
      <c r="H11" s="2">
        <v>142425</v>
      </c>
      <c r="I11" s="2">
        <v>13.4</v>
      </c>
      <c r="J11" s="2">
        <v>134</v>
      </c>
      <c r="K11" s="2">
        <v>430</v>
      </c>
      <c r="L11" s="2">
        <v>1500</v>
      </c>
      <c r="M11" s="2">
        <v>633</v>
      </c>
      <c r="N11" s="2">
        <v>9.6</v>
      </c>
      <c r="O11" s="2">
        <v>1612</v>
      </c>
      <c r="P11" s="2">
        <v>627.39</v>
      </c>
      <c r="Q11" s="2">
        <v>80</v>
      </c>
      <c r="R11" s="2">
        <f t="shared" si="2"/>
        <v>0.68</v>
      </c>
      <c r="S11" s="2">
        <v>13</v>
      </c>
      <c r="T11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FirozabadAdvanced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2025-11-15T07:04:16Z</dcterms:created>
  <dcterms:modified xsi:type="dcterms:W3CDTF">2025-11-15T11:37:33Z</dcterms:modified>
</cp:coreProperties>
</file>